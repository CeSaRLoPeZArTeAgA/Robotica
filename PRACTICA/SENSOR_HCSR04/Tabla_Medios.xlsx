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D:\Robotica\PRACTICA\SENSOR_HCSR04\"/>
    </mc:Choice>
  </mc:AlternateContent>
  <xr:revisionPtr revIDLastSave="0" documentId="13_ncr:1_{8C165A85-7BB3-4183-80C0-BE6B658AF523}" xr6:coauthVersionLast="47" xr6:coauthVersionMax="47" xr10:uidLastSave="{00000000-0000-0000-0000-000000000000}"/>
  <bookViews>
    <workbookView xWindow="-108" yWindow="-108" windowWidth="23256" windowHeight="12576" activeTab="1" xr2:uid="{A8FFEF91-926E-4FA9-8CC5-D31334E5C6E2}"/>
  </bookViews>
  <sheets>
    <sheet name="FACT_ULTRASON" sheetId="1" r:id="rId1"/>
    <sheet name="LED_RESISTENC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6" i="2"/>
  <c r="E7" i="2"/>
  <c r="E8" i="2"/>
  <c r="E9" i="2"/>
  <c r="E4" i="2"/>
  <c r="D10" i="1"/>
  <c r="E10" i="1" s="1"/>
  <c r="D9" i="1"/>
  <c r="E9" i="1" s="1"/>
  <c r="D8" i="1"/>
  <c r="E8" i="1" s="1"/>
  <c r="D7" i="1"/>
  <c r="E7" i="1" s="1"/>
  <c r="E6" i="1"/>
  <c r="D6" i="1"/>
  <c r="D5" i="1"/>
  <c r="E5" i="1" s="1"/>
</calcChain>
</file>

<file path=xl/sharedStrings.xml><?xml version="1.0" encoding="utf-8"?>
<sst xmlns="http://schemas.openxmlformats.org/spreadsheetml/2006/main" count="39" uniqueCount="33">
  <si>
    <t>Medio</t>
  </si>
  <si>
    <t>[m/s]</t>
  </si>
  <si>
    <t>[cm/µs]</t>
  </si>
  <si>
    <t>Item</t>
  </si>
  <si>
    <t>01</t>
  </si>
  <si>
    <t>00</t>
  </si>
  <si>
    <t>02</t>
  </si>
  <si>
    <t>03</t>
  </si>
  <si>
    <t>04</t>
  </si>
  <si>
    <t>05</t>
  </si>
  <si>
    <t>Vel. Sonido en el etanol</t>
  </si>
  <si>
    <t>Velocidad del sonido en el Medio (V)</t>
  </si>
  <si>
    <t>Vel. Sonido en el aire a 20 °C</t>
  </si>
  <si>
    <t>Vel. Sonido en glicerina a 25 °C</t>
  </si>
  <si>
    <t>Vel. Sonido en helio a 0 °C</t>
  </si>
  <si>
    <t>Vel. Sonido en agua a 20 °C</t>
  </si>
  <si>
    <t>Vel. Sonido en mercurio</t>
  </si>
  <si>
    <t>CALCULO DISTANCIA CON SENSOR ULTRASONICA HC-SR04</t>
  </si>
  <si>
    <t>fact (d=fact*t)</t>
  </si>
  <si>
    <t>ITEM</t>
  </si>
  <si>
    <t>TIPO DE LED</t>
  </si>
  <si>
    <t>Amarillo</t>
  </si>
  <si>
    <t>Azul</t>
  </si>
  <si>
    <t>Naranja</t>
  </si>
  <si>
    <t>Rojo</t>
  </si>
  <si>
    <t>Verde</t>
  </si>
  <si>
    <t>Blanco</t>
  </si>
  <si>
    <t>06</t>
  </si>
  <si>
    <t>Vs=</t>
  </si>
  <si>
    <t>Vf [V]</t>
  </si>
  <si>
    <t>v</t>
  </si>
  <si>
    <t>I [mA]</t>
  </si>
  <si>
    <r>
      <t>Resistencia de proteccion [</t>
    </r>
    <r>
      <rPr>
        <b/>
        <sz val="11"/>
        <color theme="1"/>
        <rFont val="Calibri"/>
        <family val="2"/>
      </rPr>
      <t>Ω]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</si>
</sst>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3" xfId="0" applyBorder="1"/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0" fillId="0" borderId="1" xfId="0" quotePrefix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4" fontId="3" fillId="2" borderId="1" xfId="0" applyNumberFormat="1" applyFont="1" applyFill="1" applyBorder="1" applyAlignment="1">
      <alignment horizontal="center" vertical="center" wrapText="1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228600</xdr:colOff>
      <xdr:row>10</xdr:row>
      <xdr:rowOff>110483</xdr:rowOff>
    </xdr:from>
    <xdr:to>
      <xdr:col>7</xdr:col>
      <xdr:colOff>722727</xdr:colOff>
      <xdr:row>27</xdr:row>
      <xdr:rowOff>118988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D496D2-3D7C-8AEC-FDCB-79A975EFD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5446" y="2109268"/>
          <a:ext cx="2076743" cy="3097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220396</xdr:colOff>
      <xdr:row>0</xdr:row>
      <xdr:rowOff>133181</xdr:rowOff>
    </xdr:from>
    <xdr:to>
      <xdr:col>9</xdr:col>
      <xdr:colOff>342316</xdr:colOff>
      <xdr:row>9</xdr:row>
      <xdr:rowOff>46314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342B6E1-8696-2CFE-394C-0B8A7E2092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7242" y="133181"/>
          <a:ext cx="3287151" cy="17302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2C0A1-3768-45C1-8D2A-D36401827EEB}">
  <dimension ref="A1:G10"/>
  <sheetViews>
    <sheetView zoomScale="130" zoomScaleNormal="130" workbookViewId="0">
      <selection activeCell="E5" sqref="E5"/>
    </sheetView>
  </sheetViews>
  <sheetFormatPr baseColWidth="10" defaultRowHeight="14.4" x14ac:dyDescent="0.3"/>
  <cols>
    <col min="1" max="1" width="8.33203125" customWidth="1"/>
    <col min="2" max="2" width="26.88671875" customWidth="1"/>
    <col min="3" max="3" width="15.109375" customWidth="1"/>
    <col min="4" max="4" width="16.88671875" customWidth="1"/>
    <col min="5" max="5" width="15.88671875" customWidth="1"/>
    <col min="7" max="7" width="3.88671875" style="2" customWidth="1"/>
    <col min="8" max="8" width="8.44140625" customWidth="1"/>
    <col min="9" max="9" width="3.88671875" customWidth="1"/>
    <col min="10" max="10" width="4.88671875" customWidth="1"/>
  </cols>
  <sheetData>
    <row r="1" spans="1:6" ht="18" x14ac:dyDescent="0.35">
      <c r="A1" s="14" t="s">
        <v>17</v>
      </c>
      <c r="B1" s="14"/>
      <c r="C1" s="14"/>
      <c r="D1" s="14"/>
      <c r="E1" s="14"/>
    </row>
    <row r="3" spans="1:6" x14ac:dyDescent="0.3">
      <c r="A3" s="13" t="s">
        <v>3</v>
      </c>
      <c r="B3" s="9" t="s">
        <v>0</v>
      </c>
      <c r="C3" s="11" t="s">
        <v>11</v>
      </c>
      <c r="D3" s="12"/>
      <c r="E3" s="7" t="s">
        <v>18</v>
      </c>
    </row>
    <row r="4" spans="1:6" x14ac:dyDescent="0.3">
      <c r="A4" s="13"/>
      <c r="B4" s="10"/>
      <c r="C4" s="7" t="s">
        <v>1</v>
      </c>
      <c r="D4" s="7" t="s">
        <v>2</v>
      </c>
      <c r="E4" s="7" t="s">
        <v>2</v>
      </c>
    </row>
    <row r="5" spans="1:6" x14ac:dyDescent="0.3">
      <c r="A5" s="6" t="s">
        <v>5</v>
      </c>
      <c r="B5" s="5" t="s">
        <v>12</v>
      </c>
      <c r="C5" s="3">
        <v>343</v>
      </c>
      <c r="D5" s="4">
        <f>+C5*1/10000</f>
        <v>3.4299999999999997E-2</v>
      </c>
      <c r="E5" s="8">
        <f>+D5/2</f>
        <v>1.7149999999999999E-2</v>
      </c>
      <c r="F5" s="1"/>
    </row>
    <row r="6" spans="1:6" x14ac:dyDescent="0.3">
      <c r="A6" s="6" t="s">
        <v>4</v>
      </c>
      <c r="B6" s="5" t="s">
        <v>13</v>
      </c>
      <c r="C6" s="3">
        <v>1904</v>
      </c>
      <c r="D6" s="4">
        <f>+C6*1/10000</f>
        <v>0.19040000000000001</v>
      </c>
      <c r="E6" s="8">
        <f>+D6/2</f>
        <v>9.5200000000000007E-2</v>
      </c>
    </row>
    <row r="7" spans="1:6" x14ac:dyDescent="0.3">
      <c r="A7" s="6" t="s">
        <v>6</v>
      </c>
      <c r="B7" s="5" t="s">
        <v>14</v>
      </c>
      <c r="C7" s="3">
        <v>972</v>
      </c>
      <c r="D7" s="4">
        <f t="shared" ref="D7:D10" si="0">+C7*1/10000</f>
        <v>9.7199999999999995E-2</v>
      </c>
      <c r="E7" s="8">
        <f t="shared" ref="E7:E10" si="1">+D7/2</f>
        <v>4.8599999999999997E-2</v>
      </c>
    </row>
    <row r="8" spans="1:6" x14ac:dyDescent="0.3">
      <c r="A8" s="6" t="s">
        <v>7</v>
      </c>
      <c r="B8" s="5" t="s">
        <v>15</v>
      </c>
      <c r="C8" s="3">
        <v>1481</v>
      </c>
      <c r="D8" s="4">
        <f t="shared" si="0"/>
        <v>0.14810000000000001</v>
      </c>
      <c r="E8" s="8">
        <f t="shared" si="1"/>
        <v>7.4050000000000005E-2</v>
      </c>
    </row>
    <row r="9" spans="1:6" x14ac:dyDescent="0.3">
      <c r="A9" s="6" t="s">
        <v>8</v>
      </c>
      <c r="B9" s="5" t="s">
        <v>16</v>
      </c>
      <c r="C9" s="3">
        <v>1500</v>
      </c>
      <c r="D9" s="4">
        <f t="shared" si="0"/>
        <v>0.15</v>
      </c>
      <c r="E9" s="8">
        <f t="shared" si="1"/>
        <v>7.4999999999999997E-2</v>
      </c>
    </row>
    <row r="10" spans="1:6" x14ac:dyDescent="0.3">
      <c r="A10" s="6" t="s">
        <v>9</v>
      </c>
      <c r="B10" s="5" t="s">
        <v>10</v>
      </c>
      <c r="C10" s="3">
        <v>1400</v>
      </c>
      <c r="D10" s="4">
        <f t="shared" si="0"/>
        <v>0.14000000000000001</v>
      </c>
      <c r="E10" s="8">
        <f t="shared" si="1"/>
        <v>7.0000000000000007E-2</v>
      </c>
    </row>
  </sheetData>
  <mergeCells count="4">
    <mergeCell ref="B3:B4"/>
    <mergeCell ref="C3:D3"/>
    <mergeCell ref="A3:A4"/>
    <mergeCell ref="A1:E1"/>
  </mergeCells>
  <phoneticPr fontId="1" type="noConversion"/>
  <pageMargins left="0.52" right="0.18" top="1.63" bottom="0.74803149606299213" header="0.31496062992125984" footer="0.31496062992125984"/>
  <pageSetup scale="1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7DCE4-4BF2-4A6E-8495-8AAD9307031C}">
  <dimension ref="A3:E11"/>
  <sheetViews>
    <sheetView tabSelected="1" zoomScale="130" zoomScaleNormal="130" workbookViewId="0">
      <selection activeCell="L7" sqref="L7"/>
    </sheetView>
  </sheetViews>
  <sheetFormatPr baseColWidth="10" defaultRowHeight="14.4" x14ac:dyDescent="0.3"/>
  <cols>
    <col min="1" max="1" width="15" customWidth="1"/>
    <col min="5" max="5" width="14" customWidth="1"/>
  </cols>
  <sheetData>
    <row r="3" spans="1:5" ht="28.8" x14ac:dyDescent="0.3">
      <c r="A3" s="17" t="s">
        <v>19</v>
      </c>
      <c r="B3" s="17" t="s">
        <v>20</v>
      </c>
      <c r="C3" s="20" t="s">
        <v>31</v>
      </c>
      <c r="D3" s="20" t="s">
        <v>29</v>
      </c>
      <c r="E3" s="20" t="s">
        <v>32</v>
      </c>
    </row>
    <row r="4" spans="1:5" x14ac:dyDescent="0.3">
      <c r="A4" s="16" t="s">
        <v>4</v>
      </c>
      <c r="B4" s="15" t="s">
        <v>21</v>
      </c>
      <c r="C4" s="21">
        <v>15</v>
      </c>
      <c r="D4" s="21">
        <v>2.1800000000000002</v>
      </c>
      <c r="E4" s="21">
        <f>+(($B$11-D4)/C4)*1000</f>
        <v>188</v>
      </c>
    </row>
    <row r="5" spans="1:5" x14ac:dyDescent="0.3">
      <c r="A5" s="16" t="s">
        <v>6</v>
      </c>
      <c r="B5" s="15" t="s">
        <v>22</v>
      </c>
      <c r="C5" s="21">
        <v>20</v>
      </c>
      <c r="D5" s="21">
        <v>3.7</v>
      </c>
      <c r="E5" s="21">
        <f t="shared" ref="E5:E9" si="0">+(($B$11-D5)/C5)*1000</f>
        <v>64.999999999999986</v>
      </c>
    </row>
    <row r="6" spans="1:5" x14ac:dyDescent="0.3">
      <c r="A6" s="16" t="s">
        <v>7</v>
      </c>
      <c r="B6" s="15" t="s">
        <v>23</v>
      </c>
      <c r="C6" s="21">
        <v>15</v>
      </c>
      <c r="D6" s="21">
        <v>2.1</v>
      </c>
      <c r="E6" s="21">
        <f t="shared" si="0"/>
        <v>193.33333333333334</v>
      </c>
    </row>
    <row r="7" spans="1:5" x14ac:dyDescent="0.3">
      <c r="A7" s="16" t="s">
        <v>8</v>
      </c>
      <c r="B7" s="15" t="s">
        <v>24</v>
      </c>
      <c r="C7" s="21">
        <v>15</v>
      </c>
      <c r="D7" s="21">
        <v>2.0299999999999998</v>
      </c>
      <c r="E7" s="21">
        <f t="shared" si="0"/>
        <v>198</v>
      </c>
    </row>
    <row r="8" spans="1:5" x14ac:dyDescent="0.3">
      <c r="A8" s="16" t="s">
        <v>9</v>
      </c>
      <c r="B8" s="15" t="s">
        <v>25</v>
      </c>
      <c r="C8" s="21">
        <v>15</v>
      </c>
      <c r="D8" s="21">
        <v>4</v>
      </c>
      <c r="E8" s="21">
        <f t="shared" si="0"/>
        <v>66.666666666666671</v>
      </c>
    </row>
    <row r="9" spans="1:5" x14ac:dyDescent="0.3">
      <c r="A9" s="16" t="s">
        <v>27</v>
      </c>
      <c r="B9" s="15" t="s">
        <v>26</v>
      </c>
      <c r="C9" s="21">
        <v>20</v>
      </c>
      <c r="D9" s="21">
        <v>3.5</v>
      </c>
      <c r="E9" s="21">
        <f t="shared" si="0"/>
        <v>75</v>
      </c>
    </row>
    <row r="11" spans="1:5" x14ac:dyDescent="0.3">
      <c r="A11" s="19" t="s">
        <v>28</v>
      </c>
      <c r="B11" s="18">
        <v>5</v>
      </c>
      <c r="C11" s="5" t="s">
        <v>30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FACT_ULTRASON</vt:lpstr>
      <vt:lpstr>LED_RESISTENCIA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OMAR LOPEZ ARTEAGA</dc:creator>
  <cp:lastModifiedBy>CESAR OMAR LOPEZ ARTEAGA</cp:lastModifiedBy>
  <cp:lastPrinted>2026-09-06T04:14:44Z</cp:lastPrinted>
  <dcterms:created xsi:type="dcterms:W3CDTF">2026-09-05T21:55:43Z</dcterms:created>
  <dcterms:modified xsi:type="dcterms:W3CDTF">2026-09-25T16:43:53Z</dcterms:modified>
</cp:coreProperties>
</file>